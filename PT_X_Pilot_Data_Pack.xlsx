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1_Company_Snapshot" sheetId="2" state="visible" r:id="rId4"/>
    <sheet name="2_Product_Foundation" sheetId="3" state="visible" r:id="rId5"/>
    <sheet name="3_Channel_Performance" sheetId="4" state="visible" r:id="rId6"/>
    <sheet name="4_Shade_Group_Perf" sheetId="5" state="visible" r:id="rId7"/>
    <sheet name="5_Campaign_Performance" sheetId="6" state="visible" r:id="rId8"/>
    <sheet name="6_SKU_Shade_Dictionary" sheetId="7" state="visible" r:id="rId9"/>
    <sheet name="7_KPI_Summary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<sst xmlns="http://schemas.openxmlformats.org/spreadsheetml/2006/main" count="256" uniqueCount="183">
  <si>
    <t xml:space="preserve">PT X Foundation Series — Pilot Data Pack</t>
  </si>
  <si>
    <t xml:space="preserve">Prepared for FLA 2026 Final Project — data structuring for Looker Studio / Streamlit dashboard</t>
  </si>
  <si>
    <t xml:space="preserve">Sheet</t>
  </si>
  <si>
    <t xml:space="preserve">What's in it</t>
  </si>
  <si>
    <t xml:space="preserve">Use it for</t>
  </si>
  <si>
    <t xml:space="preserve">1_Company_Snapshot</t>
  </si>
  <si>
    <t xml:space="preserve">Company &amp; category-level metrics, FY2025 vs H1 2026, with computed change</t>
  </si>
  <si>
    <t xml:space="preserve">KPI scorecards at the top of the dashboard (CM%, forecast accuracy, etc.)</t>
  </si>
  <si>
    <t xml:space="preserve">2_Product_Foundation</t>
  </si>
  <si>
    <t xml:space="preserve">Per-SKU pricing, COGS, margin, sales share, return rate</t>
  </si>
  <si>
    <t xml:space="preserve">SKU comparison chart; filter by Pilot Scope = Y for the focused pilot view</t>
  </si>
  <si>
    <t xml:space="preserve">3_Channel_Performance</t>
  </si>
  <si>
    <t xml:space="preserve">Per-channel share, cost, return rate, contribution margin, automation flag</t>
  </si>
  <si>
    <t xml:space="preserve">Channel profitability chart; Automation Priority flags which channels feed the automated data pipeline first</t>
  </si>
  <si>
    <t xml:space="preserve">4_Shade_Group_Perf</t>
  </si>
  <si>
    <t xml:space="preserve">Per shade-group stockout/overstock/return data</t>
  </si>
  <si>
    <t xml:space="preserve">Shade-level risk chart; filter by Pilot Scope = Y</t>
  </si>
  <si>
    <t xml:space="preserve">5_Campaign_Performance</t>
  </si>
  <si>
    <t xml:space="preserve">Per campaign-type lift, ROAS, repeat purchase</t>
  </si>
  <si>
    <t xml:space="preserve">Campaign mix chart — which campaign types to grow vs shrink</t>
  </si>
  <si>
    <t xml:space="preserve">6_SKU_Shade_Dictionary</t>
  </si>
  <si>
    <t xml:space="preserve">Master data template — the Data Governance fix itself</t>
  </si>
  <si>
    <t xml:space="preserve">Fill this in as your 'single source of truth' artifact; example row included</t>
  </si>
  <si>
    <t xml:space="preserve">7_KPI_Summary</t>
  </si>
  <si>
    <t xml:space="preserve">Tidy (long-format) table combining the headline KPIs across the two periods, formula-driven</t>
  </si>
  <si>
    <t xml:space="preserve">Easiest sheet to plug straight into Looker Studio for a trend chart</t>
  </si>
  <si>
    <t xml:space="preserve">How to use in Looker Studio:</t>
  </si>
  <si>
    <t xml:space="preserve">1. Upload this file to Google Drive, open it as a Google Sheet (File &gt; Save as Google Sheets).</t>
  </si>
  <si>
    <t xml:space="preserve">2. In Looker Studio, add a Data Source &gt; Google Sheets &gt; pick this file &gt; pick the sheet tab you need.</t>
  </si>
  <si>
    <t xml:space="preserve">3. Build one chart/scorecard per KPI in 1_Company_Snapshot or 7_KPI_Summary for the headline dashboard.</t>
  </si>
  <si>
    <t xml:space="preserve">4. Use 2_Product_Foundation and 4_Shade_Group_Perf with a filter control on 'Pilot Scope' to show only the focused pilot SKUs/shades.</t>
  </si>
  <si>
    <t xml:space="preserve">5. All figures are directional and simplified, taken from the FLA 2026 Final Project Case Pack appendix (fictional data for learning use).</t>
  </si>
  <si>
    <t xml:space="preserve">Company &amp; Category Snapshot</t>
  </si>
  <si>
    <t xml:space="preserve">Source: FLA 2026 Final Project Case Pack, Appendix — 'Company and Category Snapshot' (fictional, directional data)</t>
  </si>
  <si>
    <t xml:space="preserve">Metric</t>
  </si>
  <si>
    <t xml:space="preserve">FY 2025</t>
  </si>
  <si>
    <t xml:space="preserve">H1 2026</t>
  </si>
  <si>
    <t xml:space="preserve">Change (H1 2026 - FY2025)</t>
  </si>
  <si>
    <t xml:space="preserve">Unit</t>
  </si>
  <si>
    <t xml:space="preserve">Notes</t>
  </si>
  <si>
    <t xml:space="preserve">Net Sales - Total Company</t>
  </si>
  <si>
    <t xml:space="preserve">IDR bn</t>
  </si>
  <si>
    <t xml:space="preserve">Revenue is still growing, but profitability is weakening.</t>
  </si>
  <si>
    <t xml:space="preserve">Net Sales - Foundation Series</t>
  </si>
  <si>
    <t xml:space="preserve">Foundation is one of the strongest growth contributors, especially online.</t>
  </si>
  <si>
    <t xml:space="preserve">Gross Margin - Foundation Series</t>
  </si>
  <si>
    <t xml:space="preserve">%</t>
  </si>
  <si>
    <t xml:space="preserve">COGS pressure from pigments, packaging, imported components, and FX.</t>
  </si>
  <si>
    <t xml:space="preserve">Contribution Margin After Channel Cost</t>
  </si>
  <si>
    <t xml:space="preserve">Platform fees, ads, discounts, and returns are the main drag.</t>
  </si>
  <si>
    <t xml:space="preserve">Marketplace Share of Foundation Sales</t>
  </si>
  <si>
    <t xml:space="preserve">High dependency on major marketplace ecosystems.</t>
  </si>
  <si>
    <t xml:space="preserve">Brand Website / CRM Share</t>
  </si>
  <si>
    <t xml:space="preserve">Small but valuable for owned data and repeat purchase.</t>
  </si>
  <si>
    <t xml:space="preserve">Offline &amp; Specialty Retail Share</t>
  </si>
  <si>
    <t xml:space="preserve">Useful for shade trial, but slower reporting.</t>
  </si>
  <si>
    <t xml:space="preserve">Community / Reseller Share</t>
  </si>
  <si>
    <t xml:space="preserve">Potential trust engine, but under-managed.</t>
  </si>
  <si>
    <t xml:space="preserve">Average Ad Spend Ratio</t>
  </si>
  <si>
    <t xml:space="preserve">Paid visibility is becoming more expensive.</t>
  </si>
  <si>
    <t xml:space="preserve">Promo Contribution to Foundation Sales</t>
  </si>
  <si>
    <t xml:space="preserve">Sales increasingly depend on promo moments.</t>
  </si>
  <si>
    <t xml:space="preserve">Repeat Purchase Rate</t>
  </si>
  <si>
    <t xml:space="preserve">Repeat is not improving despite sales growth.</t>
  </si>
  <si>
    <t xml:space="preserve">Foundation Return Rate During Campaigns</t>
  </si>
  <si>
    <t xml:space="preserve">Shade mismatch and expectation gaps are recurring issues.</t>
  </si>
  <si>
    <t xml:space="preserve">Forecast Accuracy</t>
  </si>
  <si>
    <t xml:space="preserve">Demand planning is less reliable during campaigns.</t>
  </si>
  <si>
    <t xml:space="preserve">Stockout Rate for Top SKUs/Shades</t>
  </si>
  <si>
    <t xml:space="preserve">Fast-moving shades frequently stock out.</t>
  </si>
  <si>
    <t xml:space="preserve">Overstock for Slow-Moving Shades/SKUs</t>
  </si>
  <si>
    <t xml:space="preserve">Some undertones and slower SKUs build excess inventory.</t>
  </si>
  <si>
    <t xml:space="preserve">Cross-Functional Report Turnaround (days, midpoint assumption)</t>
  </si>
  <si>
    <t xml:space="preserve">days</t>
  </si>
  <si>
    <t xml:space="preserve">Case states '3-5 working days' -&gt; '4-6 working days'; midpoint used here (4 and 5) so it can be charted. Source: case appendix; assumption by team.</t>
  </si>
  <si>
    <t xml:space="preserve">Product Snapshot: Foundation Series</t>
  </si>
  <si>
    <t xml:space="preserve">Source: FLA 2026 Final Project Case Pack, Appendix — 'Product Snapshot: Foundation Series'</t>
  </si>
  <si>
    <t xml:space="preserve">SKU</t>
  </si>
  <si>
    <t xml:space="preserve">Avg Selling Price (IDR)</t>
  </si>
  <si>
    <t xml:space="preserve">COGS/Unit (IDR)</t>
  </si>
  <si>
    <t xml:space="preserve">Gross Margin %</t>
  </si>
  <si>
    <t xml:space="preserve">Sales Share</t>
  </si>
  <si>
    <t xml:space="preserve">Return Rate</t>
  </si>
  <si>
    <t xml:space="preserve">Pilot Scope (Y/N)</t>
  </si>
  <si>
    <t xml:space="preserve">Business Notes</t>
  </si>
  <si>
    <t xml:space="preserve">Z Soft Matte Foundation</t>
  </si>
  <si>
    <t xml:space="preserve">Y</t>
  </si>
  <si>
    <t xml:space="preserve">Strong online sales, high promo sensitivity, shade-level stock imbalance.</t>
  </si>
  <si>
    <t xml:space="preserve">Z Skin Tint</t>
  </si>
  <si>
    <t xml:space="preserve">Trend-relevant, strong creator potential, still needs stronger repeat purchase.</t>
  </si>
  <si>
    <t xml:space="preserve">Z Hybrid Cushion</t>
  </si>
  <si>
    <t xml:space="preserve">N</t>
  </si>
  <si>
    <t xml:space="preserve">High AOV, but return risk from shade mismatch and expectation gap.</t>
  </si>
  <si>
    <t xml:space="preserve">Z Concealer</t>
  </si>
  <si>
    <t xml:space="preserve">Good attachment item, but shade complexity affects conversion.</t>
  </si>
  <si>
    <t xml:space="preserve">Z Loose Powder</t>
  </si>
  <si>
    <t xml:space="preserve">Margin-friendly add-on, useful for bundle redesign.</t>
  </si>
  <si>
    <t xml:space="preserve">Z Primer Serum</t>
  </si>
  <si>
    <t xml:space="preserve">Can support a base makeup routine and repeat purchase.</t>
  </si>
  <si>
    <t xml:space="preserve">Z Shade Discovery Kit</t>
  </si>
  <si>
    <t xml:space="preserve">Useful for trial, shade confidence, and CRM acquisition.</t>
  </si>
  <si>
    <t xml:space="preserve">Channel Performance Snapshot</t>
  </si>
  <si>
    <t xml:space="preserve">Source: FLA 2026 Final Project Case Pack, Appendix — 'Channel Performance Snapshot'</t>
  </si>
  <si>
    <t xml:space="preserve">Channel</t>
  </si>
  <si>
    <t xml:space="preserve">Foundation Sales Share</t>
  </si>
  <si>
    <t xml:space="preserve">Avg Discount</t>
  </si>
  <si>
    <t xml:space="preserve">Channel/Platform Cost</t>
  </si>
  <si>
    <t xml:space="preserve">Ad or Activation Cost</t>
  </si>
  <si>
    <t xml:space="preserve">Current Role</t>
  </si>
  <si>
    <t xml:space="preserve">Automation Priority (Pilot)</t>
  </si>
  <si>
    <t xml:space="preserve">Marketplace A</t>
  </si>
  <si>
    <t xml:space="preserve">Main volume engine during campaigns.</t>
  </si>
  <si>
    <t xml:space="preserve">Y - high sales share, structured export/API available</t>
  </si>
  <si>
    <t xml:space="preserve">Platform O Social Commerce</t>
  </si>
  <si>
    <t xml:space="preserve">Strong discovery and live commerce, but margin is pressured.</t>
  </si>
  <si>
    <t xml:space="preserve">N - lower priority for pilot automation</t>
  </si>
  <si>
    <t xml:space="preserve">Brand Website / CRM</t>
  </si>
  <si>
    <t xml:space="preserve">Small scale, stronger owned data and repeat-purchase potential.</t>
  </si>
  <si>
    <t xml:space="preserve">Y - owned data, easiest to automate</t>
  </si>
  <si>
    <t xml:space="preserve">Offline &amp; Specialty Retail</t>
  </si>
  <si>
    <t xml:space="preserve">Important for shade trial and trust, but reporting is delayed.</t>
  </si>
  <si>
    <t xml:space="preserve">N - dependent on partner reporting cadence</t>
  </si>
  <si>
    <t xml:space="preserve">Community / Reseller</t>
  </si>
  <si>
    <t xml:space="preserve">Potential trust and education channel, but under-managed.</t>
  </si>
  <si>
    <t xml:space="preserve">Shade Group Performance</t>
  </si>
  <si>
    <t xml:space="preserve">Source: FLA 2026 Final Project Case Pack, Appendix — 'Shade Group Performance'</t>
  </si>
  <si>
    <t xml:space="preserve">Shade Group</t>
  </si>
  <si>
    <t xml:space="preserve">Stockout Rate</t>
  </si>
  <si>
    <t xml:space="preserve">Overstock Rate</t>
  </si>
  <si>
    <t xml:space="preserve">Main Issue</t>
  </si>
  <si>
    <t xml:space="preserve">Light Neutral</t>
  </si>
  <si>
    <t xml:space="preserve">Popular online shade, frequent campaign stockout.</t>
  </si>
  <si>
    <t xml:space="preserve">Medium Warm</t>
  </si>
  <si>
    <t xml:space="preserve">Highest volume, but forecast often underestimates demand.</t>
  </si>
  <si>
    <t xml:space="preserve">Medium Neutral</t>
  </si>
  <si>
    <t xml:space="preserve">Stable demand, good candidate for profitable bundles.</t>
  </si>
  <si>
    <t xml:space="preserve">Tan / Deep</t>
  </si>
  <si>
    <t xml:space="preserve">Lower content representation and higher mismatch risk.</t>
  </si>
  <si>
    <t xml:space="preserve">Olive / Undertone-Specific</t>
  </si>
  <si>
    <t xml:space="preserve">Consumers are confused by undertone education and naming.</t>
  </si>
  <si>
    <t xml:space="preserve">Campaign Performance Snapshot</t>
  </si>
  <si>
    <t xml:space="preserve">Source: FLA 2026 Final Project Case Pack, Appendix — 'Campaign Performance Snapshot'</t>
  </si>
  <si>
    <t xml:space="preserve">Campaign Type</t>
  </si>
  <si>
    <t xml:space="preserve">Sales Lift vs Baseline</t>
  </si>
  <si>
    <t xml:space="preserve">Ad/Activation Spend (% of sales)</t>
  </si>
  <si>
    <t xml:space="preserve">ROAS</t>
  </si>
  <si>
    <t xml:space="preserve">Repeat Purchase from Campaign Buyers</t>
  </si>
  <si>
    <t xml:space="preserve">Operational Issue</t>
  </si>
  <si>
    <t xml:space="preserve">Double Date</t>
  </si>
  <si>
    <t xml:space="preserve">Strong volume, but weak margin and top-shade stockout.</t>
  </si>
  <si>
    <t xml:space="preserve">Live Commerce Creator Push</t>
  </si>
  <si>
    <t xml:space="preserve">High traffic, but attribution and claims control are inconsistent.</t>
  </si>
  <si>
    <t xml:space="preserve">Pay Day</t>
  </si>
  <si>
    <t xml:space="preserve">Slower scale, but better quality traffic and lower returns.</t>
  </si>
  <si>
    <t xml:space="preserve">Website / CRM Routine Bundle</t>
  </si>
  <si>
    <t xml:space="preserve">Small reach, but stronger repeat and owned data.</t>
  </si>
  <si>
    <t xml:space="preserve">Offline Shade Trial Pop-Up</t>
  </si>
  <si>
    <t xml:space="preserve">Good trust-building, but partner reporting is delayed.</t>
  </si>
  <si>
    <t xml:space="preserve">SKU &amp; Shade Data Dictionary (Master Data Template)</t>
  </si>
  <si>
    <t xml:space="preserve">This is the artifact for the 'Decision &amp; Data Governance' fix. Fill in yellow cells with your team's naming conventions across functions.</t>
  </si>
  <si>
    <t xml:space="preserve">Legend: white cells = pre-filled from case data. Yellow cells = fill in with your team's naming/RACI decisions.</t>
  </si>
  <si>
    <t xml:space="preserve">Master SKU Code</t>
  </si>
  <si>
    <t xml:space="preserve">Master SKU Name (Standard)</t>
  </si>
  <si>
    <t xml:space="preserve">Master Shade Name (Standard)</t>
  </si>
  <si>
    <t xml:space="preserve">Sales Team Naming (as used today)</t>
  </si>
  <si>
    <t xml:space="preserve">Marcomm Naming (as used today)</t>
  </si>
  <si>
    <t xml:space="preserve">Operations/WMS Naming (as used today)</t>
  </si>
  <si>
    <t xml:space="preserve">Data Owner (RACI - Accountable)</t>
  </si>
  <si>
    <t xml:space="preserve">FDN-001</t>
  </si>
  <si>
    <t xml:space="preserve">e.g., 'Soft Matte - Light N' (Sales report)</t>
  </si>
  <si>
    <t xml:space="preserve">e.g., 'Matte Fdn Light Neutral' (campaign brief)</t>
  </si>
  <si>
    <t xml:space="preserve">e.g., 'SKU-1023-LN' (warehouse system)</t>
  </si>
  <si>
    <t xml:space="preserve">e.g., IT/Data Lead — example only, confirm with your team</t>
  </si>
  <si>
    <t xml:space="preserve">FDN-002</t>
  </si>
  <si>
    <t xml:space="preserve">FDN-003</t>
  </si>
  <si>
    <t xml:space="preserve">FDN-004</t>
  </si>
  <si>
    <t xml:space="preserve">FDN-005</t>
  </si>
  <si>
    <t xml:space="preserve">FDN-006</t>
  </si>
  <si>
    <t xml:space="preserve">FDN-007</t>
  </si>
  <si>
    <t xml:space="preserve">KPI Summary — Tidy Format for Dashboard</t>
  </si>
  <si>
    <t xml:space="preserve">Pulls from 1_Company_Snapshot via formulas. One row per Metric x Period — plug straight into Looker Studio as a time series.</t>
  </si>
  <si>
    <t xml:space="preserve">Period</t>
  </si>
  <si>
    <t xml:space="preserve">Value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</si>
</sst>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"/>
    <numFmt numFmtId="166" formatCode="0.0%"/>
    <numFmt numFmtId="167" formatCode="&quot;Rp&quot;#,##0"/>
    <numFmt numFmtId="168" formatCode="0.0\x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9C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9C"/>
        <bgColor rgb="FF0066CC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9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5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23.85" hidden="false" customHeight="false" outlineLevel="0" collapsed="false">
      <c r="A5" s="4" t="s">
        <v>5</v>
      </c>
      <c r="B5" s="4" t="s">
        <v>6</v>
      </c>
      <c r="C5" s="4" t="s">
        <v>7</v>
      </c>
    </row>
    <row r="6" customFormat="false" ht="23.85" hidden="false" customHeight="false" outlineLevel="0" collapsed="false">
      <c r="A6" s="4" t="s">
        <v>8</v>
      </c>
      <c r="B6" s="4" t="s">
        <v>9</v>
      </c>
      <c r="C6" s="4" t="s">
        <v>10</v>
      </c>
    </row>
    <row r="7" customFormat="false" ht="23.85" hidden="false" customHeight="false" outlineLevel="0" collapsed="false">
      <c r="A7" s="4" t="s">
        <v>11</v>
      </c>
      <c r="B7" s="4" t="s">
        <v>12</v>
      </c>
      <c r="C7" s="4" t="s">
        <v>13</v>
      </c>
    </row>
    <row r="8" customFormat="false" ht="15" hidden="false" customHeight="false" outlineLevel="0" collapsed="false">
      <c r="A8" s="4" t="s">
        <v>14</v>
      </c>
      <c r="B8" s="4" t="s">
        <v>15</v>
      </c>
      <c r="C8" s="4" t="s">
        <v>16</v>
      </c>
    </row>
    <row r="9" customFormat="false" ht="15" hidden="false" customHeight="false" outlineLevel="0" collapsed="false">
      <c r="A9" s="4" t="s">
        <v>17</v>
      </c>
      <c r="B9" s="4" t="s">
        <v>18</v>
      </c>
      <c r="C9" s="4" t="s">
        <v>19</v>
      </c>
    </row>
    <row r="10" customFormat="false" ht="23.85" hidden="false" customHeight="false" outlineLevel="0" collapsed="false">
      <c r="A10" s="4" t="s">
        <v>20</v>
      </c>
      <c r="B10" s="4" t="s">
        <v>21</v>
      </c>
      <c r="C10" s="4" t="s">
        <v>22</v>
      </c>
    </row>
    <row r="11" customFormat="false" ht="23.85" hidden="false" customHeight="false" outlineLevel="0" collapsed="false">
      <c r="A11" s="4" t="s">
        <v>23</v>
      </c>
      <c r="B11" s="4" t="s">
        <v>24</v>
      </c>
      <c r="C11" s="4" t="s">
        <v>25</v>
      </c>
    </row>
    <row r="13" customFormat="false" ht="15" hidden="false" customHeight="false" outlineLevel="0" collapsed="false">
      <c r="A13" s="5" t="s">
        <v>26</v>
      </c>
    </row>
    <row r="14" customFormat="false" ht="15" hidden="false" customHeight="false" outlineLevel="0" collapsed="false">
      <c r="A14" s="6" t="s">
        <v>27</v>
      </c>
    </row>
    <row r="15" customFormat="false" ht="15" hidden="false" customHeight="false" outlineLevel="0" collapsed="false">
      <c r="A15" s="6" t="s">
        <v>28</v>
      </c>
    </row>
    <row r="16" customFormat="false" ht="15" hidden="false" customHeight="false" outlineLevel="0" collapsed="false">
      <c r="A16" s="6" t="s">
        <v>29</v>
      </c>
    </row>
    <row r="17" customFormat="false" ht="15" hidden="false" customHeight="false" outlineLevel="0" collapsed="false">
      <c r="A17" s="6" t="s">
        <v>30</v>
      </c>
    </row>
    <row r="18" customFormat="false" ht="15" hidden="false" customHeight="false" outlineLevel="0" collapsed="false">
      <c r="A18" s="6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1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6" min="6" style="0" width="55"/>
  </cols>
  <sheetData>
    <row r="1" customFormat="false" ht="17.35" hidden="false" customHeight="false" outlineLevel="0" collapsed="false">
      <c r="A1" s="1" t="s">
        <v>32</v>
      </c>
    </row>
    <row r="2" customFormat="false" ht="15" hidden="false" customHeight="false" outlineLevel="0" collapsed="false">
      <c r="A2" s="2" t="s">
        <v>33</v>
      </c>
    </row>
    <row r="4" customFormat="false" ht="23.85" hidden="false" customHeight="false" outlineLevel="0" collapsed="false">
      <c r="A4" s="3" t="s">
        <v>34</v>
      </c>
      <c r="B4" s="3" t="s">
        <v>35</v>
      </c>
      <c r="C4" s="3" t="s">
        <v>36</v>
      </c>
      <c r="D4" s="3" t="s">
        <v>37</v>
      </c>
      <c r="E4" s="3" t="s">
        <v>38</v>
      </c>
      <c r="F4" s="3" t="s">
        <v>39</v>
      </c>
    </row>
    <row r="5" customFormat="false" ht="15" hidden="false" customHeight="false" outlineLevel="0" collapsed="false">
      <c r="A5" s="4" t="s">
        <v>40</v>
      </c>
      <c r="B5" s="7" t="n">
        <v>74</v>
      </c>
      <c r="C5" s="7" t="n">
        <v>42</v>
      </c>
      <c r="D5" s="7" t="n">
        <f aca="false">C5-B5</f>
        <v>-32</v>
      </c>
      <c r="E5" s="4" t="s">
        <v>41</v>
      </c>
      <c r="F5" s="4" t="s">
        <v>42</v>
      </c>
    </row>
    <row r="6" customFormat="false" ht="23.85" hidden="false" customHeight="false" outlineLevel="0" collapsed="false">
      <c r="A6" s="4" t="s">
        <v>43</v>
      </c>
      <c r="B6" s="7" t="n">
        <v>14.8</v>
      </c>
      <c r="C6" s="7" t="n">
        <v>9.2</v>
      </c>
      <c r="D6" s="7" t="n">
        <f aca="false">C6-B6</f>
        <v>-5.6</v>
      </c>
      <c r="E6" s="4" t="s">
        <v>41</v>
      </c>
      <c r="F6" s="4" t="s">
        <v>44</v>
      </c>
    </row>
    <row r="7" customFormat="false" ht="23.85" hidden="false" customHeight="false" outlineLevel="0" collapsed="false">
      <c r="A7" s="4" t="s">
        <v>45</v>
      </c>
      <c r="B7" s="8" t="n">
        <v>0.54</v>
      </c>
      <c r="C7" s="8" t="n">
        <v>0.48</v>
      </c>
      <c r="D7" s="8" t="n">
        <f aca="false">C7-B7</f>
        <v>-0.0600000000000001</v>
      </c>
      <c r="E7" s="4" t="s">
        <v>46</v>
      </c>
      <c r="F7" s="4" t="s">
        <v>47</v>
      </c>
    </row>
    <row r="8" customFormat="false" ht="15" hidden="false" customHeight="false" outlineLevel="0" collapsed="false">
      <c r="A8" s="4" t="s">
        <v>48</v>
      </c>
      <c r="B8" s="8" t="n">
        <v>0.22</v>
      </c>
      <c r="C8" s="8" t="n">
        <v>0.168</v>
      </c>
      <c r="D8" s="8" t="n">
        <f aca="false">C8-B8</f>
        <v>-0.052</v>
      </c>
      <c r="E8" s="4" t="s">
        <v>46</v>
      </c>
      <c r="F8" s="4" t="s">
        <v>49</v>
      </c>
    </row>
    <row r="9" customFormat="false" ht="15" hidden="false" customHeight="false" outlineLevel="0" collapsed="false">
      <c r="A9" s="4" t="s">
        <v>50</v>
      </c>
      <c r="B9" s="8" t="n">
        <v>0.67</v>
      </c>
      <c r="C9" s="8" t="n">
        <v>0.72</v>
      </c>
      <c r="D9" s="8" t="n">
        <f aca="false">C9-B9</f>
        <v>0.0499999999999999</v>
      </c>
      <c r="E9" s="4" t="s">
        <v>46</v>
      </c>
      <c r="F9" s="4" t="s">
        <v>51</v>
      </c>
    </row>
    <row r="10" customFormat="false" ht="15" hidden="false" customHeight="false" outlineLevel="0" collapsed="false">
      <c r="A10" s="4" t="s">
        <v>52</v>
      </c>
      <c r="B10" s="8" t="n">
        <v>0.05</v>
      </c>
      <c r="C10" s="8" t="n">
        <v>0.06</v>
      </c>
      <c r="D10" s="8" t="n">
        <f aca="false">C10-B10</f>
        <v>0.01</v>
      </c>
      <c r="E10" s="4" t="s">
        <v>46</v>
      </c>
      <c r="F10" s="4" t="s">
        <v>53</v>
      </c>
    </row>
    <row r="11" customFormat="false" ht="15" hidden="false" customHeight="false" outlineLevel="0" collapsed="false">
      <c r="A11" s="4" t="s">
        <v>54</v>
      </c>
      <c r="B11" s="8" t="n">
        <v>0.2</v>
      </c>
      <c r="C11" s="8" t="n">
        <v>0.17</v>
      </c>
      <c r="D11" s="8" t="n">
        <f aca="false">C11-B11</f>
        <v>-0.03</v>
      </c>
      <c r="E11" s="4" t="s">
        <v>46</v>
      </c>
      <c r="F11" s="4" t="s">
        <v>55</v>
      </c>
    </row>
    <row r="12" customFormat="false" ht="15" hidden="false" customHeight="false" outlineLevel="0" collapsed="false">
      <c r="A12" s="4" t="s">
        <v>56</v>
      </c>
      <c r="B12" s="8" t="n">
        <v>0.08</v>
      </c>
      <c r="C12" s="8" t="n">
        <v>0.05</v>
      </c>
      <c r="D12" s="8" t="n">
        <f aca="false">C12-B12</f>
        <v>-0.03</v>
      </c>
      <c r="E12" s="4" t="s">
        <v>46</v>
      </c>
      <c r="F12" s="4" t="s">
        <v>57</v>
      </c>
    </row>
    <row r="13" customFormat="false" ht="15" hidden="false" customHeight="false" outlineLevel="0" collapsed="false">
      <c r="A13" s="4" t="s">
        <v>58</v>
      </c>
      <c r="B13" s="8" t="n">
        <v>0.101</v>
      </c>
      <c r="C13" s="8" t="n">
        <v>0.124</v>
      </c>
      <c r="D13" s="8" t="n">
        <f aca="false">C13-B13</f>
        <v>0.023</v>
      </c>
      <c r="E13" s="4" t="s">
        <v>46</v>
      </c>
      <c r="F13" s="4" t="s">
        <v>59</v>
      </c>
    </row>
    <row r="14" customFormat="false" ht="15" hidden="false" customHeight="false" outlineLevel="0" collapsed="false">
      <c r="A14" s="4" t="s">
        <v>60</v>
      </c>
      <c r="B14" s="8" t="n">
        <v>0.38</v>
      </c>
      <c r="C14" s="8" t="n">
        <v>0.43</v>
      </c>
      <c r="D14" s="8" t="n">
        <f aca="false">C14-B14</f>
        <v>0.05</v>
      </c>
      <c r="E14" s="4" t="s">
        <v>46</v>
      </c>
      <c r="F14" s="4" t="s">
        <v>61</v>
      </c>
    </row>
    <row r="15" customFormat="false" ht="15" hidden="false" customHeight="false" outlineLevel="0" collapsed="false">
      <c r="A15" s="4" t="s">
        <v>62</v>
      </c>
      <c r="B15" s="8" t="n">
        <v>0.24</v>
      </c>
      <c r="C15" s="8" t="n">
        <v>0.23</v>
      </c>
      <c r="D15" s="8" t="n">
        <f aca="false">C15-B15</f>
        <v>-0.00999999999999998</v>
      </c>
      <c r="E15" s="4" t="s">
        <v>46</v>
      </c>
      <c r="F15" s="4" t="s">
        <v>63</v>
      </c>
    </row>
    <row r="16" customFormat="false" ht="15" hidden="false" customHeight="false" outlineLevel="0" collapsed="false">
      <c r="A16" s="4" t="s">
        <v>64</v>
      </c>
      <c r="B16" s="8" t="n">
        <v>0.065</v>
      </c>
      <c r="C16" s="8" t="n">
        <v>0.082</v>
      </c>
      <c r="D16" s="8" t="n">
        <f aca="false">C16-B16</f>
        <v>0.017</v>
      </c>
      <c r="E16" s="4" t="s">
        <v>46</v>
      </c>
      <c r="F16" s="4" t="s">
        <v>65</v>
      </c>
    </row>
    <row r="17" customFormat="false" ht="15" hidden="false" customHeight="false" outlineLevel="0" collapsed="false">
      <c r="A17" s="4" t="s">
        <v>66</v>
      </c>
      <c r="B17" s="8" t="n">
        <v>0.66</v>
      </c>
      <c r="C17" s="8" t="n">
        <v>0.63</v>
      </c>
      <c r="D17" s="8" t="n">
        <f aca="false">C17-B17</f>
        <v>-0.03</v>
      </c>
      <c r="E17" s="4" t="s">
        <v>46</v>
      </c>
      <c r="F17" s="4" t="s">
        <v>67</v>
      </c>
    </row>
    <row r="18" customFormat="false" ht="15" hidden="false" customHeight="false" outlineLevel="0" collapsed="false">
      <c r="A18" s="4" t="s">
        <v>68</v>
      </c>
      <c r="B18" s="8" t="n">
        <v>0.13</v>
      </c>
      <c r="C18" s="8" t="n">
        <v>0.16</v>
      </c>
      <c r="D18" s="8" t="n">
        <f aca="false">C18-B18</f>
        <v>0.03</v>
      </c>
      <c r="E18" s="4" t="s">
        <v>46</v>
      </c>
      <c r="F18" s="4" t="s">
        <v>69</v>
      </c>
    </row>
    <row r="19" customFormat="false" ht="15" hidden="false" customHeight="false" outlineLevel="0" collapsed="false">
      <c r="A19" s="4" t="s">
        <v>70</v>
      </c>
      <c r="B19" s="8" t="n">
        <v>0.18</v>
      </c>
      <c r="C19" s="8" t="n">
        <v>0.21</v>
      </c>
      <c r="D19" s="8" t="n">
        <f aca="false">C19-B19</f>
        <v>0.03</v>
      </c>
      <c r="E19" s="4" t="s">
        <v>46</v>
      </c>
      <c r="F19" s="4" t="s">
        <v>71</v>
      </c>
    </row>
    <row r="20" customFormat="false" ht="32.8" hidden="false" customHeight="false" outlineLevel="0" collapsed="false">
      <c r="A20" s="4" t="s">
        <v>72</v>
      </c>
      <c r="B20" s="9" t="n">
        <v>4</v>
      </c>
      <c r="C20" s="9" t="n">
        <v>5</v>
      </c>
      <c r="D20" s="4" t="n">
        <f aca="false">C20-B20</f>
        <v>1</v>
      </c>
      <c r="E20" s="4" t="s">
        <v>73</v>
      </c>
      <c r="F20" s="10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14"/>
    <col collapsed="false" customWidth="true" hidden="false" outlineLevel="0" max="8" min="8" style="0" width="50"/>
  </cols>
  <sheetData>
    <row r="1" customFormat="false" ht="17.35" hidden="false" customHeight="false" outlineLevel="0" collapsed="false">
      <c r="A1" s="1" t="s">
        <v>75</v>
      </c>
    </row>
    <row r="2" customFormat="false" ht="15" hidden="false" customHeight="false" outlineLevel="0" collapsed="false">
      <c r="A2" s="2" t="s">
        <v>76</v>
      </c>
    </row>
    <row r="4" customFormat="false" ht="23.85" hidden="false" customHeight="false" outlineLevel="0" collapsed="false">
      <c r="A4" s="3" t="s">
        <v>77</v>
      </c>
      <c r="B4" s="3" t="s">
        <v>78</v>
      </c>
      <c r="C4" s="3" t="s">
        <v>79</v>
      </c>
      <c r="D4" s="3" t="s">
        <v>80</v>
      </c>
      <c r="E4" s="3" t="s">
        <v>81</v>
      </c>
      <c r="F4" s="3" t="s">
        <v>82</v>
      </c>
      <c r="G4" s="3" t="s">
        <v>83</v>
      </c>
      <c r="H4" s="3" t="s">
        <v>84</v>
      </c>
    </row>
    <row r="5" customFormat="false" ht="23.85" hidden="false" customHeight="false" outlineLevel="0" collapsed="false">
      <c r="A5" s="11" t="s">
        <v>85</v>
      </c>
      <c r="B5" s="12" t="n">
        <v>149000</v>
      </c>
      <c r="C5" s="12" t="n">
        <v>58000</v>
      </c>
      <c r="D5" s="13" t="n">
        <f aca="false">(B5-C5)/B5</f>
        <v>0.610738255033557</v>
      </c>
      <c r="E5" s="13" t="n">
        <v>0.28</v>
      </c>
      <c r="F5" s="13" t="n">
        <v>0.07</v>
      </c>
      <c r="G5" s="11" t="s">
        <v>86</v>
      </c>
      <c r="H5" s="11" t="s">
        <v>87</v>
      </c>
    </row>
    <row r="6" customFormat="false" ht="23.85" hidden="false" customHeight="false" outlineLevel="0" collapsed="false">
      <c r="A6" s="11" t="s">
        <v>88</v>
      </c>
      <c r="B6" s="12" t="n">
        <v>129000</v>
      </c>
      <c r="C6" s="12" t="n">
        <v>49000</v>
      </c>
      <c r="D6" s="13" t="n">
        <f aca="false">(B6-C6)/B6</f>
        <v>0.62015503875969</v>
      </c>
      <c r="E6" s="13" t="n">
        <v>0.21</v>
      </c>
      <c r="F6" s="13" t="n">
        <v>0.055</v>
      </c>
      <c r="G6" s="11" t="s">
        <v>86</v>
      </c>
      <c r="H6" s="11" t="s">
        <v>89</v>
      </c>
    </row>
    <row r="7" customFormat="false" ht="23.85" hidden="false" customHeight="false" outlineLevel="0" collapsed="false">
      <c r="A7" s="4" t="s">
        <v>90</v>
      </c>
      <c r="B7" s="14" t="n">
        <v>159000</v>
      </c>
      <c r="C7" s="14" t="n">
        <v>66000</v>
      </c>
      <c r="D7" s="8" t="n">
        <f aca="false">(B7-C7)/B7</f>
        <v>0.584905660377359</v>
      </c>
      <c r="E7" s="8" t="n">
        <v>0.18</v>
      </c>
      <c r="F7" s="8" t="n">
        <v>0.09</v>
      </c>
      <c r="G7" s="4" t="s">
        <v>91</v>
      </c>
      <c r="H7" s="4" t="s">
        <v>92</v>
      </c>
    </row>
    <row r="8" customFormat="false" ht="23.85" hidden="false" customHeight="false" outlineLevel="0" collapsed="false">
      <c r="A8" s="4" t="s">
        <v>93</v>
      </c>
      <c r="B8" s="14" t="n">
        <v>89000</v>
      </c>
      <c r="C8" s="14" t="n">
        <v>32000</v>
      </c>
      <c r="D8" s="8" t="n">
        <f aca="false">(B8-C8)/B8</f>
        <v>0.640449438202247</v>
      </c>
      <c r="E8" s="8" t="n">
        <v>0.12</v>
      </c>
      <c r="F8" s="8" t="n">
        <v>0.065</v>
      </c>
      <c r="G8" s="4" t="s">
        <v>91</v>
      </c>
      <c r="H8" s="4" t="s">
        <v>94</v>
      </c>
    </row>
    <row r="9" customFormat="false" ht="15" hidden="false" customHeight="false" outlineLevel="0" collapsed="false">
      <c r="A9" s="4" t="s">
        <v>95</v>
      </c>
      <c r="B9" s="14" t="n">
        <v>79000</v>
      </c>
      <c r="C9" s="14" t="n">
        <v>25000</v>
      </c>
      <c r="D9" s="8" t="n">
        <f aca="false">(B9-C9)/B9</f>
        <v>0.683544303797468</v>
      </c>
      <c r="E9" s="8" t="n">
        <v>0.09</v>
      </c>
      <c r="F9" s="8" t="n">
        <v>0.03</v>
      </c>
      <c r="G9" s="4" t="s">
        <v>91</v>
      </c>
      <c r="H9" s="4" t="s">
        <v>96</v>
      </c>
    </row>
    <row r="10" customFormat="false" ht="15" hidden="false" customHeight="false" outlineLevel="0" collapsed="false">
      <c r="A10" s="4" t="s">
        <v>97</v>
      </c>
      <c r="B10" s="14" t="n">
        <v>119000</v>
      </c>
      <c r="C10" s="14" t="n">
        <v>43000</v>
      </c>
      <c r="D10" s="8" t="n">
        <f aca="false">(B10-C10)/B10</f>
        <v>0.638655462184874</v>
      </c>
      <c r="E10" s="8" t="n">
        <v>0.07</v>
      </c>
      <c r="F10" s="8" t="n">
        <v>0.035</v>
      </c>
      <c r="G10" s="4" t="s">
        <v>91</v>
      </c>
      <c r="H10" s="4" t="s">
        <v>98</v>
      </c>
    </row>
    <row r="11" customFormat="false" ht="15" hidden="false" customHeight="false" outlineLevel="0" collapsed="false">
      <c r="A11" s="11" t="s">
        <v>99</v>
      </c>
      <c r="B11" s="12" t="n">
        <v>39000</v>
      </c>
      <c r="C11" s="12" t="n">
        <v>16000</v>
      </c>
      <c r="D11" s="13" t="n">
        <f aca="false">(B11-C11)/B11</f>
        <v>0.58974358974359</v>
      </c>
      <c r="E11" s="13" t="n">
        <v>0.05</v>
      </c>
      <c r="F11" s="13" t="n">
        <v>0.02</v>
      </c>
      <c r="G11" s="11" t="s">
        <v>86</v>
      </c>
      <c r="H11" s="11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5" min="4" style="0" width="12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9" min="8" style="0" width="42"/>
  </cols>
  <sheetData>
    <row r="1" customFormat="false" ht="17.35" hidden="false" customHeight="false" outlineLevel="0" collapsed="false">
      <c r="A1" s="1" t="s">
        <v>101</v>
      </c>
    </row>
    <row r="2" customFormat="false" ht="15" hidden="false" customHeight="false" outlineLevel="0" collapsed="false">
      <c r="A2" s="2" t="s">
        <v>102</v>
      </c>
    </row>
    <row r="4" customFormat="false" ht="35.05" hidden="false" customHeight="false" outlineLevel="0" collapsed="false">
      <c r="A4" s="3" t="s">
        <v>103</v>
      </c>
      <c r="B4" s="3" t="s">
        <v>104</v>
      </c>
      <c r="C4" s="3" t="s">
        <v>105</v>
      </c>
      <c r="D4" s="3" t="s">
        <v>106</v>
      </c>
      <c r="E4" s="3" t="s">
        <v>107</v>
      </c>
      <c r="F4" s="3" t="s">
        <v>82</v>
      </c>
      <c r="G4" s="3" t="s">
        <v>48</v>
      </c>
      <c r="H4" s="3" t="s">
        <v>108</v>
      </c>
      <c r="I4" s="3" t="s">
        <v>109</v>
      </c>
    </row>
    <row r="5" customFormat="false" ht="23.85" hidden="false" customHeight="false" outlineLevel="0" collapsed="false">
      <c r="A5" s="11" t="s">
        <v>110</v>
      </c>
      <c r="B5" s="13" t="n">
        <v>0.41</v>
      </c>
      <c r="C5" s="13" t="n">
        <v>0.2</v>
      </c>
      <c r="D5" s="13" t="n">
        <v>0.07</v>
      </c>
      <c r="E5" s="13" t="n">
        <v>0.13</v>
      </c>
      <c r="F5" s="13" t="n">
        <v>0.08</v>
      </c>
      <c r="G5" s="13" t="n">
        <v>0.13</v>
      </c>
      <c r="H5" s="11" t="s">
        <v>111</v>
      </c>
      <c r="I5" s="11" t="s">
        <v>112</v>
      </c>
    </row>
    <row r="6" customFormat="false" ht="23.85" hidden="false" customHeight="false" outlineLevel="0" collapsed="false">
      <c r="A6" s="4" t="s">
        <v>113</v>
      </c>
      <c r="B6" s="8" t="n">
        <v>0.31</v>
      </c>
      <c r="C6" s="8" t="n">
        <v>0.23</v>
      </c>
      <c r="D6" s="8" t="n">
        <v>0.08</v>
      </c>
      <c r="E6" s="8" t="n">
        <v>0.15</v>
      </c>
      <c r="F6" s="8" t="n">
        <v>0.09</v>
      </c>
      <c r="G6" s="8" t="n">
        <v>0.1</v>
      </c>
      <c r="H6" s="4" t="s">
        <v>114</v>
      </c>
      <c r="I6" s="4" t="s">
        <v>115</v>
      </c>
    </row>
    <row r="7" customFormat="false" ht="23.85" hidden="false" customHeight="false" outlineLevel="0" collapsed="false">
      <c r="A7" s="11" t="s">
        <v>116</v>
      </c>
      <c r="B7" s="13" t="n">
        <v>0.06</v>
      </c>
      <c r="C7" s="13" t="n">
        <v>0.1</v>
      </c>
      <c r="D7" s="13" t="n">
        <v>0.02</v>
      </c>
      <c r="E7" s="13" t="n">
        <v>0.08</v>
      </c>
      <c r="F7" s="13" t="n">
        <v>0.04</v>
      </c>
      <c r="G7" s="13" t="n">
        <v>0.26</v>
      </c>
      <c r="H7" s="11" t="s">
        <v>117</v>
      </c>
      <c r="I7" s="11" t="s">
        <v>118</v>
      </c>
    </row>
    <row r="8" customFormat="false" ht="23.85" hidden="false" customHeight="false" outlineLevel="0" collapsed="false">
      <c r="A8" s="4" t="s">
        <v>119</v>
      </c>
      <c r="B8" s="8" t="n">
        <v>0.17</v>
      </c>
      <c r="C8" s="8" t="n">
        <v>0.12</v>
      </c>
      <c r="D8" s="8" t="n">
        <v>0.18</v>
      </c>
      <c r="E8" s="8" t="n">
        <v>0.05</v>
      </c>
      <c r="F8" s="8" t="n">
        <v>0.05</v>
      </c>
      <c r="G8" s="8" t="n">
        <v>0.2</v>
      </c>
      <c r="H8" s="4" t="s">
        <v>120</v>
      </c>
      <c r="I8" s="4" t="s">
        <v>121</v>
      </c>
    </row>
    <row r="9" customFormat="false" ht="23.85" hidden="false" customHeight="false" outlineLevel="0" collapsed="false">
      <c r="A9" s="4" t="s">
        <v>122</v>
      </c>
      <c r="B9" s="8" t="n">
        <v>0.05</v>
      </c>
      <c r="C9" s="8" t="n">
        <v>0.08</v>
      </c>
      <c r="D9" s="8" t="n">
        <v>0.12</v>
      </c>
      <c r="E9" s="8" t="n">
        <v>0.06</v>
      </c>
      <c r="F9" s="8" t="n">
        <v>0.04</v>
      </c>
      <c r="G9" s="8" t="n">
        <v>0.22</v>
      </c>
      <c r="H9" s="4" t="s">
        <v>123</v>
      </c>
      <c r="I9" s="4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50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1" t="s">
        <v>124</v>
      </c>
    </row>
    <row r="2" customFormat="false" ht="15" hidden="false" customHeight="false" outlineLevel="0" collapsed="false">
      <c r="A2" s="2" t="s">
        <v>125</v>
      </c>
    </row>
    <row r="4" customFormat="false" ht="23.85" hidden="false" customHeight="false" outlineLevel="0" collapsed="false">
      <c r="A4" s="3" t="s">
        <v>126</v>
      </c>
      <c r="B4" s="3" t="s">
        <v>81</v>
      </c>
      <c r="C4" s="3" t="s">
        <v>127</v>
      </c>
      <c r="D4" s="3" t="s">
        <v>128</v>
      </c>
      <c r="E4" s="3" t="s">
        <v>82</v>
      </c>
      <c r="F4" s="3" t="s">
        <v>129</v>
      </c>
      <c r="G4" s="3" t="s">
        <v>83</v>
      </c>
    </row>
    <row r="5" customFormat="false" ht="15" hidden="false" customHeight="false" outlineLevel="0" collapsed="false">
      <c r="A5" s="11" t="s">
        <v>130</v>
      </c>
      <c r="B5" s="13" t="n">
        <v>0.22</v>
      </c>
      <c r="C5" s="13" t="n">
        <v>0.18</v>
      </c>
      <c r="D5" s="13" t="n">
        <v>0.08</v>
      </c>
      <c r="E5" s="13" t="n">
        <v>0.05</v>
      </c>
      <c r="F5" s="11" t="s">
        <v>131</v>
      </c>
      <c r="G5" s="11" t="s">
        <v>86</v>
      </c>
    </row>
    <row r="6" customFormat="false" ht="15" hidden="false" customHeight="false" outlineLevel="0" collapsed="false">
      <c r="A6" s="11" t="s">
        <v>132</v>
      </c>
      <c r="B6" s="13" t="n">
        <v>0.31</v>
      </c>
      <c r="C6" s="13" t="n">
        <v>0.22</v>
      </c>
      <c r="D6" s="13" t="n">
        <v>0.06</v>
      </c>
      <c r="E6" s="13" t="n">
        <v>0.06</v>
      </c>
      <c r="F6" s="11" t="s">
        <v>133</v>
      </c>
      <c r="G6" s="11" t="s">
        <v>86</v>
      </c>
    </row>
    <row r="7" customFormat="false" ht="15" hidden="false" customHeight="false" outlineLevel="0" collapsed="false">
      <c r="A7" s="4" t="s">
        <v>134</v>
      </c>
      <c r="B7" s="8" t="n">
        <v>0.25</v>
      </c>
      <c r="C7" s="8" t="n">
        <v>0.14</v>
      </c>
      <c r="D7" s="8" t="n">
        <v>0.07</v>
      </c>
      <c r="E7" s="8" t="n">
        <v>0.055</v>
      </c>
      <c r="F7" s="4" t="s">
        <v>135</v>
      </c>
      <c r="G7" s="4" t="s">
        <v>91</v>
      </c>
    </row>
    <row r="8" customFormat="false" ht="15" hidden="false" customHeight="false" outlineLevel="0" collapsed="false">
      <c r="A8" s="4" t="s">
        <v>136</v>
      </c>
      <c r="B8" s="8" t="n">
        <v>0.12</v>
      </c>
      <c r="C8" s="8" t="n">
        <v>0.05</v>
      </c>
      <c r="D8" s="8" t="n">
        <v>0.26</v>
      </c>
      <c r="E8" s="8" t="n">
        <v>0.11</v>
      </c>
      <c r="F8" s="4" t="s">
        <v>137</v>
      </c>
      <c r="G8" s="4" t="s">
        <v>91</v>
      </c>
    </row>
    <row r="9" customFormat="false" ht="23.85" hidden="false" customHeight="false" outlineLevel="0" collapsed="false">
      <c r="A9" s="4" t="s">
        <v>138</v>
      </c>
      <c r="B9" s="8" t="n">
        <v>0.1</v>
      </c>
      <c r="C9" s="8" t="n">
        <v>0.07</v>
      </c>
      <c r="D9" s="8" t="n">
        <v>0.22</v>
      </c>
      <c r="E9" s="8" t="n">
        <v>0.105</v>
      </c>
      <c r="F9" s="4" t="s">
        <v>139</v>
      </c>
      <c r="G9" s="4" t="s">
        <v>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8"/>
    <col collapsed="false" customWidth="true" hidden="false" outlineLevel="0" max="6" min="6" style="0" width="18"/>
    <col collapsed="false" customWidth="true" hidden="false" outlineLevel="0" max="7" min="7" style="0" width="50"/>
  </cols>
  <sheetData>
    <row r="1" customFormat="false" ht="17.35" hidden="false" customHeight="false" outlineLevel="0" collapsed="false">
      <c r="A1" s="1" t="s">
        <v>140</v>
      </c>
    </row>
    <row r="2" customFormat="false" ht="15" hidden="false" customHeight="false" outlineLevel="0" collapsed="false">
      <c r="A2" s="2" t="s">
        <v>141</v>
      </c>
    </row>
    <row r="4" customFormat="false" ht="35.05" hidden="false" customHeight="false" outlineLevel="0" collapsed="false">
      <c r="A4" s="3" t="s">
        <v>142</v>
      </c>
      <c r="B4" s="3" t="s">
        <v>143</v>
      </c>
      <c r="C4" s="3" t="s">
        <v>105</v>
      </c>
      <c r="D4" s="3" t="s">
        <v>144</v>
      </c>
      <c r="E4" s="3" t="s">
        <v>145</v>
      </c>
      <c r="F4" s="3" t="s">
        <v>146</v>
      </c>
      <c r="G4" s="3" t="s">
        <v>147</v>
      </c>
    </row>
    <row r="5" customFormat="false" ht="15" hidden="false" customHeight="false" outlineLevel="0" collapsed="false">
      <c r="A5" s="4" t="s">
        <v>148</v>
      </c>
      <c r="B5" s="8" t="n">
        <v>0.48</v>
      </c>
      <c r="C5" s="8" t="n">
        <v>0.24</v>
      </c>
      <c r="D5" s="8" t="n">
        <v>0.13</v>
      </c>
      <c r="E5" s="15" t="n">
        <v>2.1</v>
      </c>
      <c r="F5" s="8" t="n">
        <v>0.18</v>
      </c>
      <c r="G5" s="4" t="s">
        <v>149</v>
      </c>
    </row>
    <row r="6" customFormat="false" ht="15" hidden="false" customHeight="false" outlineLevel="0" collapsed="false">
      <c r="A6" s="4" t="s">
        <v>150</v>
      </c>
      <c r="B6" s="8" t="n">
        <v>0.34</v>
      </c>
      <c r="C6" s="8" t="n">
        <v>0.2</v>
      </c>
      <c r="D6" s="8" t="n">
        <v>0.15</v>
      </c>
      <c r="E6" s="15" t="n">
        <v>2.4</v>
      </c>
      <c r="F6" s="8" t="n">
        <v>0.2</v>
      </c>
      <c r="G6" s="4" t="s">
        <v>151</v>
      </c>
    </row>
    <row r="7" customFormat="false" ht="15" hidden="false" customHeight="false" outlineLevel="0" collapsed="false">
      <c r="A7" s="4" t="s">
        <v>152</v>
      </c>
      <c r="B7" s="8" t="n">
        <v>0.16</v>
      </c>
      <c r="C7" s="8" t="n">
        <v>0.09</v>
      </c>
      <c r="D7" s="8" t="n">
        <v>0.07</v>
      </c>
      <c r="E7" s="15" t="n">
        <v>3</v>
      </c>
      <c r="F7" s="8" t="n">
        <v>0.27</v>
      </c>
      <c r="G7" s="4" t="s">
        <v>153</v>
      </c>
    </row>
    <row r="8" customFormat="false" ht="15" hidden="false" customHeight="false" outlineLevel="0" collapsed="false">
      <c r="A8" s="4" t="s">
        <v>154</v>
      </c>
      <c r="B8" s="8" t="n">
        <v>0.12</v>
      </c>
      <c r="C8" s="8" t="n">
        <v>0.11</v>
      </c>
      <c r="D8" s="8" t="n">
        <v>0.05</v>
      </c>
      <c r="E8" s="15" t="n">
        <v>3.4</v>
      </c>
      <c r="F8" s="8" t="n">
        <v>0.34</v>
      </c>
      <c r="G8" s="4" t="s">
        <v>155</v>
      </c>
    </row>
    <row r="9" customFormat="false" ht="15" hidden="false" customHeight="false" outlineLevel="0" collapsed="false">
      <c r="A9" s="4" t="s">
        <v>156</v>
      </c>
      <c r="B9" s="8" t="n">
        <v>0.1</v>
      </c>
      <c r="C9" s="8" t="n">
        <v>0.08</v>
      </c>
      <c r="D9" s="8" t="n">
        <v>0.12</v>
      </c>
      <c r="E9" s="15" t="n">
        <v>2.6</v>
      </c>
      <c r="F9" s="8" t="n">
        <v>0.31</v>
      </c>
      <c r="G9" s="4" t="s">
        <v>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6" min="4" style="0" width="32"/>
    <col collapsed="false" customWidth="true" hidden="false" outlineLevel="0" max="7" min="7" style="0" width="34"/>
  </cols>
  <sheetData>
    <row r="1" customFormat="false" ht="17.35" hidden="false" customHeight="false" outlineLevel="0" collapsed="false">
      <c r="A1" s="1" t="s">
        <v>158</v>
      </c>
    </row>
    <row r="2" customFormat="false" ht="15" hidden="false" customHeight="false" outlineLevel="0" collapsed="false">
      <c r="A2" s="2" t="s">
        <v>159</v>
      </c>
    </row>
    <row r="3" customFormat="false" ht="15" hidden="false" customHeight="false" outlineLevel="0" collapsed="false">
      <c r="A3" s="2" t="s">
        <v>160</v>
      </c>
    </row>
    <row r="5" customFormat="false" ht="23.85" hidden="false" customHeight="false" outlineLevel="0" collapsed="false">
      <c r="A5" s="3" t="s">
        <v>161</v>
      </c>
      <c r="B5" s="3" t="s">
        <v>162</v>
      </c>
      <c r="C5" s="3" t="s">
        <v>163</v>
      </c>
      <c r="D5" s="3" t="s">
        <v>164</v>
      </c>
      <c r="E5" s="3" t="s">
        <v>165</v>
      </c>
      <c r="F5" s="3" t="s">
        <v>166</v>
      </c>
      <c r="G5" s="3" t="s">
        <v>167</v>
      </c>
    </row>
    <row r="6" customFormat="false" ht="23.85" hidden="false" customHeight="false" outlineLevel="0" collapsed="false">
      <c r="A6" s="4" t="s">
        <v>168</v>
      </c>
      <c r="B6" s="4" t="s">
        <v>85</v>
      </c>
      <c r="C6" s="4" t="s">
        <v>130</v>
      </c>
      <c r="D6" s="9" t="s">
        <v>169</v>
      </c>
      <c r="E6" s="9" t="s">
        <v>170</v>
      </c>
      <c r="F6" s="9" t="s">
        <v>171</v>
      </c>
      <c r="G6" s="9" t="s">
        <v>172</v>
      </c>
    </row>
    <row r="7" customFormat="false" ht="15" hidden="false" customHeight="false" outlineLevel="0" collapsed="false">
      <c r="A7" s="4" t="s">
        <v>173</v>
      </c>
      <c r="B7" s="4" t="s">
        <v>85</v>
      </c>
      <c r="C7" s="4" t="s">
        <v>130</v>
      </c>
      <c r="D7" s="9"/>
      <c r="E7" s="9"/>
      <c r="F7" s="9"/>
      <c r="G7" s="9"/>
    </row>
    <row r="8" customFormat="false" ht="15" hidden="false" customHeight="false" outlineLevel="0" collapsed="false">
      <c r="A8" s="4" t="s">
        <v>174</v>
      </c>
      <c r="B8" s="4" t="s">
        <v>85</v>
      </c>
      <c r="C8" s="4" t="s">
        <v>132</v>
      </c>
      <c r="D8" s="9"/>
      <c r="E8" s="9"/>
      <c r="F8" s="9"/>
      <c r="G8" s="9"/>
    </row>
    <row r="9" customFormat="false" ht="15" hidden="false" customHeight="false" outlineLevel="0" collapsed="false">
      <c r="A9" s="4" t="s">
        <v>175</v>
      </c>
      <c r="B9" s="4" t="s">
        <v>88</v>
      </c>
      <c r="C9" s="4" t="s">
        <v>130</v>
      </c>
      <c r="D9" s="9"/>
      <c r="E9" s="9"/>
      <c r="F9" s="9"/>
      <c r="G9" s="9"/>
    </row>
    <row r="10" customFormat="false" ht="15" hidden="false" customHeight="false" outlineLevel="0" collapsed="false">
      <c r="A10" s="4" t="s">
        <v>176</v>
      </c>
      <c r="B10" s="4" t="s">
        <v>88</v>
      </c>
      <c r="C10" s="4" t="s">
        <v>132</v>
      </c>
      <c r="D10" s="9"/>
      <c r="E10" s="9"/>
      <c r="F10" s="9"/>
      <c r="G10" s="9"/>
    </row>
    <row r="11" customFormat="false" ht="15" hidden="false" customHeight="false" outlineLevel="0" collapsed="false">
      <c r="A11" s="4" t="s">
        <v>177</v>
      </c>
      <c r="B11" s="4" t="s">
        <v>99</v>
      </c>
      <c r="C11" s="4" t="s">
        <v>130</v>
      </c>
      <c r="D11" s="9"/>
      <c r="E11" s="9"/>
      <c r="F11" s="9"/>
      <c r="G11" s="9"/>
    </row>
    <row r="12" customFormat="false" ht="15" hidden="false" customHeight="false" outlineLevel="0" collapsed="false">
      <c r="A12" s="4" t="s">
        <v>178</v>
      </c>
      <c r="B12" s="4" t="s">
        <v>99</v>
      </c>
      <c r="C12" s="4" t="s">
        <v>132</v>
      </c>
      <c r="D12" s="9"/>
      <c r="E12" s="9"/>
      <c r="F12" s="9"/>
      <c r="G12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12"/>
  </cols>
  <sheetData>
    <row r="1" customFormat="false" ht="17.35" hidden="false" customHeight="false" outlineLevel="0" collapsed="false">
      <c r="A1" s="1" t="s">
        <v>179</v>
      </c>
    </row>
    <row r="2" customFormat="false" ht="15" hidden="false" customHeight="false" outlineLevel="0" collapsed="false">
      <c r="A2" s="2" t="s">
        <v>180</v>
      </c>
    </row>
    <row r="4" customFormat="false" ht="15" hidden="false" customHeight="false" outlineLevel="0" collapsed="false">
      <c r="A4" s="3" t="s">
        <v>34</v>
      </c>
      <c r="B4" s="3" t="s">
        <v>181</v>
      </c>
      <c r="C4" s="3" t="s">
        <v>182</v>
      </c>
    </row>
    <row r="5" customFormat="false" ht="15" hidden="false" customHeight="false" outlineLevel="0" collapsed="false">
      <c r="A5" s="4" t="s">
        <v>45</v>
      </c>
      <c r="B5" s="4" t="s">
        <v>35</v>
      </c>
      <c r="C5" s="8" t="n">
        <f aca="false">1_Company_Snapshot!B7</f>
        <v>0.54</v>
      </c>
    </row>
    <row r="6" customFormat="false" ht="15" hidden="false" customHeight="false" outlineLevel="0" collapsed="false">
      <c r="A6" s="4" t="s">
        <v>45</v>
      </c>
      <c r="B6" s="4" t="s">
        <v>36</v>
      </c>
      <c r="C6" s="8" t="n">
        <f aca="false">1_Company_Snapshot!C7</f>
        <v>0.48</v>
      </c>
    </row>
    <row r="7" customFormat="false" ht="15" hidden="false" customHeight="false" outlineLevel="0" collapsed="false">
      <c r="A7" s="4" t="s">
        <v>48</v>
      </c>
      <c r="B7" s="4" t="s">
        <v>35</v>
      </c>
      <c r="C7" s="8" t="n">
        <f aca="false">1_Company_Snapshot!B8</f>
        <v>0.22</v>
      </c>
    </row>
    <row r="8" customFormat="false" ht="15" hidden="false" customHeight="false" outlineLevel="0" collapsed="false">
      <c r="A8" s="4" t="s">
        <v>48</v>
      </c>
      <c r="B8" s="4" t="s">
        <v>36</v>
      </c>
      <c r="C8" s="8" t="n">
        <f aca="false">1_Company_Snapshot!C8</f>
        <v>0.168</v>
      </c>
    </row>
    <row r="9" customFormat="false" ht="15" hidden="false" customHeight="false" outlineLevel="0" collapsed="false">
      <c r="A9" s="4" t="s">
        <v>62</v>
      </c>
      <c r="B9" s="4" t="s">
        <v>35</v>
      </c>
      <c r="C9" s="8" t="n">
        <f aca="false">1_Company_Snapshot!B15</f>
        <v>0.24</v>
      </c>
    </row>
    <row r="10" customFormat="false" ht="15" hidden="false" customHeight="false" outlineLevel="0" collapsed="false">
      <c r="A10" s="4" t="s">
        <v>62</v>
      </c>
      <c r="B10" s="4" t="s">
        <v>36</v>
      </c>
      <c r="C10" s="8" t="n">
        <f aca="false">1_Company_Snapshot!C15</f>
        <v>0.23</v>
      </c>
    </row>
    <row r="11" customFormat="false" ht="15" hidden="false" customHeight="false" outlineLevel="0" collapsed="false">
      <c r="A11" s="4" t="s">
        <v>64</v>
      </c>
      <c r="B11" s="4" t="s">
        <v>35</v>
      </c>
      <c r="C11" s="8" t="n">
        <f aca="false">1_Company_Snapshot!B16</f>
        <v>0.065</v>
      </c>
    </row>
    <row r="12" customFormat="false" ht="15" hidden="false" customHeight="false" outlineLevel="0" collapsed="false">
      <c r="A12" s="4" t="s">
        <v>64</v>
      </c>
      <c r="B12" s="4" t="s">
        <v>36</v>
      </c>
      <c r="C12" s="8" t="n">
        <f aca="false">1_Company_Snapshot!C16</f>
        <v>0.082</v>
      </c>
    </row>
    <row r="13" customFormat="false" ht="15" hidden="false" customHeight="false" outlineLevel="0" collapsed="false">
      <c r="A13" s="4" t="s">
        <v>66</v>
      </c>
      <c r="B13" s="4" t="s">
        <v>35</v>
      </c>
      <c r="C13" s="8" t="n">
        <f aca="false">1_Company_Snapshot!B17</f>
        <v>0.66</v>
      </c>
    </row>
    <row r="14" customFormat="false" ht="15" hidden="false" customHeight="false" outlineLevel="0" collapsed="false">
      <c r="A14" s="4" t="s">
        <v>66</v>
      </c>
      <c r="B14" s="4" t="s">
        <v>36</v>
      </c>
      <c r="C14" s="8" t="n">
        <f aca="false">1_Company_Snapshot!C17</f>
        <v>0.63</v>
      </c>
    </row>
    <row r="15" customFormat="false" ht="15" hidden="false" customHeight="false" outlineLevel="0" collapsed="false">
      <c r="A15" s="4" t="s">
        <v>68</v>
      </c>
      <c r="B15" s="4" t="s">
        <v>35</v>
      </c>
      <c r="C15" s="8" t="n">
        <f aca="false">1_Company_Snapshot!B18</f>
        <v>0.13</v>
      </c>
    </row>
    <row r="16" customFormat="false" ht="15" hidden="false" customHeight="false" outlineLevel="0" collapsed="false">
      <c r="A16" s="4" t="s">
        <v>68</v>
      </c>
      <c r="B16" s="4" t="s">
        <v>36</v>
      </c>
      <c r="C16" s="8" t="n">
        <f aca="false">1_Company_Snapshot!C18</f>
        <v>0.16</v>
      </c>
    </row>
    <row r="17" customFormat="false" ht="15" hidden="false" customHeight="false" outlineLevel="0" collapsed="false">
      <c r="A17" s="4" t="s">
        <v>70</v>
      </c>
      <c r="B17" s="4" t="s">
        <v>35</v>
      </c>
      <c r="C17" s="8" t="n">
        <f aca="false">1_Company_Snapshot!B19</f>
        <v>0.18</v>
      </c>
    </row>
    <row r="18" customFormat="false" ht="15" hidden="false" customHeight="false" outlineLevel="0" collapsed="false">
      <c r="A18" s="4" t="s">
        <v>70</v>
      </c>
      <c r="B18" s="4" t="s">
        <v>36</v>
      </c>
      <c r="C18" s="8" t="n">
        <f aca="false">1_Company_Snapshot!C19</f>
        <v>0.21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2026-08-26T02:48:14Z</dcterms:created>
  <dc:creator>openpyxl</dc:creator>
  <dc:description/>
  <dc:language>en-US</dc:language>
  <cp:lastModifiedBy/>
  <dcterms:modified xsi:type="dcterms:W3CDTF">2026-08-26T02:48:14Z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